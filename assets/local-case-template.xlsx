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d250923a8549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用例" sheetId="1" r:id="R764f6ba3aac24e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4"/>
      <x:color rgb="FF222222"/>
      <x:name val="Microsoft YaHei"/>
    </x:font>
    <x:font>
      <x:sz val="10"/>
      <x:color rgb="FF222222"/>
      <x:name val="Microsoft YaHei"/>
    </x:font>
    <x:font>
      <x:b/>
      <x:sz val="10"/>
      <x:color rgb="FF222222"/>
      <x:name val="Microsoft YaHei"/>
    </x:font>
    <x:font>
      <x:b/>
      <x:sz val="16"/>
      <x:color rgb="FF222222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86D3E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horizont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4" fillId="4" borderId="1" xfId="0" applyNumberFormat="1" applyFont="1" applyFill="1" applyBorder="1" applyAlignment="1">
      <x:alignment horizontal="left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200" fontId="2" fillId="4" borderId="1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7F6000"/>
      </x:font>
      <x:fill>
        <x:patternFill patternType="solid">
          <x:bgColor rgb="FFFFE599"/>
        </x:patternFill>
      </x:fill>
    </x:dxf>
    <x:dxf>
      <x:font>
        <x:b/>
        <x:color rgb="FF666666"/>
      </x:font>
      <x:fill>
        <x:patternFill patternType="solid">
          <x:bgColor rgb="FFD9D9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65a660a16a4f73" /><Relationship Type="http://schemas.openxmlformats.org/officeDocument/2006/relationships/theme" Target="/xl/theme/theme1.xml" Id="Rb5ea045991e44fd2" /><Relationship Type="http://schemas.openxmlformats.org/officeDocument/2006/relationships/sharedStrings" Target="/xl/sharedStrings.xml" Id="Rb9369116fa7c44c7" /><Relationship Type="http://schemas.openxmlformats.org/officeDocument/2006/relationships/worksheet" Target="/xl/worksheets/sheet1.xml" Id="R764f6ba3aac24e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7.25" hidden="0" customWidth="1"/>
    <x:col min="3" max="3" width="17" hidden="0" customWidth="1"/>
    <x:col min="4" max="4" width="23.5" hidden="0" customWidth="1"/>
    <x:col min="5" max="5" width="31.25" hidden="0" customWidth="1"/>
    <x:col min="6" max="6" width="42.75" hidden="0" customWidth="1"/>
    <x:col min="7" max="7" width="36.5" hidden="0" customWidth="1"/>
    <x:col min="8" max="8" width="13.5" hidden="0" customWidth="1"/>
    <x:col min="9" max="9" width="13.5" hidden="0" customWidth="1"/>
    <x:col min="10" max="10" width="15.75" hidden="0" customWidth="1"/>
  </x:cols>
  <x:sheetData>
    <x:row r="1" ht="34" customHeight="1">
      <x:c r="A1" s="5" t="str">
        <x:v>测试用例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5" customHeight="1">
      <x:c r="A2" s="12" t="str">
        <x:v>DRI</x:v>
      </x:c>
      <x:c r="B2" s="13" t="str"/>
      <x:c r="C2" s="12" t="str">
        <x:v>用例总数</x:v>
      </x:c>
      <x:c r="D2" s="17" t="n">
        <x:f>COUNTA($A$11:$A$11)</x:f>
        <x:v>0</x:v>
      </x:c>
      <x:c r="E2" s="15"/>
      <x:c r="F2" s="15"/>
      <x:c r="G2" s="15"/>
      <x:c r="H2" s="12" t="str">
        <x:v>测试结果类型</x:v>
      </x:c>
      <x:c r="I2" s="12" t="str">
        <x:v>结果统计</x:v>
      </x:c>
      <x:c r="J2" s="14"/>
    </x:row>
    <x:row r="3" ht="25" customHeight="1">
      <x:c r="A3" s="12" t="str">
        <x:v>客户端</x:v>
      </x:c>
      <x:c r="B3" s="13" t="str"/>
      <x:c r="C3" s="12"/>
      <x:c r="D3" s="15"/>
      <x:c r="E3" s="15"/>
      <x:c r="F3" s="15"/>
      <x:c r="G3" s="15"/>
      <x:c r="H3" s="12" t="str">
        <x:v>测试通过（P）</x:v>
      </x:c>
      <x:c r="I3" s="14" t="n">
        <x:f>COUNTIF($I$11:$I$11,"P")</x:f>
        <x:v>0</x:v>
      </x:c>
      <x:c r="J3" s="14"/>
    </x:row>
    <x:row r="4" ht="25" customHeight="1">
      <x:c r="A4" s="12" t="str">
        <x:v>服务器</x:v>
      </x:c>
      <x:c r="B4" s="13" t="str"/>
      <x:c r="C4" s="12"/>
      <x:c r="D4" s="15"/>
      <x:c r="E4" s="15"/>
      <x:c r="F4" s="15"/>
      <x:c r="G4" s="15"/>
      <x:c r="H4" s="12" t="str">
        <x:v>未通过（F）</x:v>
      </x:c>
      <x:c r="I4" s="14" t="n">
        <x:f>COUNTIF($I$11:$I$11,"F")</x:f>
        <x:v>0</x:v>
      </x:c>
      <x:c r="J4" s="14"/>
    </x:row>
    <x:row r="5" ht="25" customHeight="1">
      <x:c r="A5" s="12" t="str">
        <x:v>UT/UE</x:v>
      </x:c>
      <x:c r="B5" s="13" t="str"/>
      <x:c r="C5" s="12"/>
      <x:c r="D5" s="15"/>
      <x:c r="E5" s="15"/>
      <x:c r="F5" s="15"/>
      <x:c r="G5" s="15"/>
      <x:c r="H5" s="12" t="str">
        <x:v>删除用例（D）</x:v>
      </x:c>
      <x:c r="I5" s="14" t="n">
        <x:f>COUNTIF($I$11:$I$11,"D")</x:f>
        <x:v>0</x:v>
      </x:c>
      <x:c r="J5" s="14"/>
    </x:row>
    <x:row r="6" ht="32" customHeight="1">
      <x:c r="A6" s="12" t="str">
        <x:v>系统/运营/战斗策划</x:v>
      </x:c>
      <x:c r="B6" s="13" t="str"/>
      <x:c r="C6" s="12" t="str">
        <x:v>SVN路径或者参考文档</x:v>
      </x:c>
      <x:c r="D6" s="15"/>
      <x:c r="E6" s="15"/>
      <x:c r="F6" s="15"/>
      <x:c r="G6" s="15"/>
      <x:c r="H6" s="12" t="str">
        <x:v>无需测试（N/A）</x:v>
      </x:c>
      <x:c r="I6" s="14" t="n">
        <x:f>COUNTIF($I$11:$I$11,"N/A")</x:f>
        <x:v>0</x:v>
      </x:c>
      <x:c r="J6" s="14"/>
    </x:row>
    <x:row r="7" ht="25" customHeight="1">
      <x:c r="A7" s="12" t="str">
        <x:v>文案/叙事</x:v>
      </x:c>
      <x:c r="B7" s="13" t="str"/>
      <x:c r="C7" s="12"/>
      <x:c r="D7" s="15"/>
      <x:c r="E7" s="15"/>
      <x:c r="F7" s="15"/>
      <x:c r="G7" s="15"/>
      <x:c r="H7" s="12" t="str">
        <x:v>执行率</x:v>
      </x:c>
      <x:c r="I7" s="18" t="n">
        <x:f>IF($D$2=0,0,SUM($I$3:$I$6)/$D$2)</x:f>
        <x:v>0</x:v>
      </x:c>
      <x:c r="J7" s="14"/>
    </x:row>
    <x:row r="8" ht="25" customHeight="1">
      <x:c r="A8" s="12" t="str">
        <x:v>数值</x:v>
      </x:c>
      <x:c r="B8" s="13" t="str"/>
      <x:c r="C8" s="12"/>
      <x:c r="D8" s="15"/>
      <x:c r="E8" s="15"/>
      <x:c r="F8" s="15"/>
      <x:c r="G8" s="15"/>
      <x:c r="H8" s="12" t="str">
        <x:v>通过率</x:v>
      </x:c>
      <x:c r="I8" s="18" t="n">
        <x:f>IF($D$2=0,0,$I$3/$D$2)</x:f>
        <x:v>0</x:v>
      </x:c>
      <x:c r="J8" s="14"/>
    </x:row>
    <x:row r="9" ht="28" customHeight="1">
      <x:c r="A9" s="12" t="str">
        <x:v>用例编号</x:v>
      </x:c>
      <x:c r="B9" s="12" t="str">
        <x:v>测试标题</x:v>
      </x:c>
      <x:c r="C9" s="12"/>
      <x:c r="D9" s="12"/>
      <x:c r="E9" s="12" t="str">
        <x:v>前置条件</x:v>
      </x:c>
      <x:c r="F9" s="12" t="str">
        <x:v>操作步骤（必要项）</x:v>
      </x:c>
      <x:c r="G9" s="12" t="str">
        <x:v>预期结果（必要项）</x:v>
      </x:c>
      <x:c r="H9" s="12" t="str">
        <x:v>优先级</x:v>
      </x:c>
      <x:c r="I9" s="12" t="str">
        <x:v>测试结果</x:v>
      </x:c>
      <x:c r="J9" s="12" t="str">
        <x:v>备注</x:v>
      </x:c>
    </x:row>
    <x:row r="10" ht="28" customHeight="1">
      <x:c r="A10" s="12"/>
      <x:c r="B10" s="12" t="str">
        <x:v>一级模块</x:v>
      </x:c>
      <x:c r="C10" s="12" t="str">
        <x:v>二级模块</x:v>
      </x:c>
      <x:c r="D10" s="12" t="str">
        <x:v>检查点（必要项）</x:v>
      </x:c>
      <x:c r="E10" s="12"/>
      <x:c r="F10" s="12"/>
      <x:c r="G10" s="12"/>
      <x:c r="H10" s="12"/>
      <x:c r="I10" s="12"/>
      <x:c r="J10" s="12"/>
    </x:row>
    <x:row r="11" ht="15" hidden="0" customHeight="1">
      <x:c r="A11" s="14"/>
      <x:c r="B11" s="15"/>
      <x:c r="C11" s="15"/>
      <x:c r="D11" s="15"/>
      <x:c r="E11" s="15"/>
      <x:c r="F11" s="15"/>
      <x:c r="G11" s="15"/>
      <x:c r="H11" s="14"/>
      <x:c r="I11" s="14"/>
      <x:c r="J11" s="15"/>
    </x:row>
  </x:sheetData>
  <x:mergeCells>
    <x:mergeCell ref="A1:J1"/>
    <x:mergeCell ref="C2:C5"/>
    <x:mergeCell ref="D2:G5"/>
    <x:mergeCell ref="C6:C8"/>
    <x:mergeCell ref="D6:G8"/>
    <x:mergeCell ref="I2:J2"/>
    <x:mergeCell ref="I3:J3"/>
    <x:mergeCell ref="I4:J4"/>
    <x:mergeCell ref="I5:J5"/>
    <x:mergeCell ref="I6:J6"/>
    <x:mergeCell ref="I7:J7"/>
    <x:mergeCell ref="I8:J8"/>
    <x:mergeCell ref="A9:A10"/>
    <x:mergeCell ref="B9:D9"/>
    <x:mergeCell ref="E9:E10"/>
    <x:mergeCell ref="F9:F10"/>
    <x:mergeCell ref="G9:G10"/>
    <x:mergeCell ref="H9:H10"/>
    <x:mergeCell ref="I9:I10"/>
    <x:mergeCell ref="J9:J10"/>
  </x:mergeCells>
  <x:conditionalFormatting sqref="I11:I11">
    <x:cfRule type="cellIs" dxfId="0" priority="1" operator="equal">
      <x:formula>"P"</x:formula>
    </x:cfRule>
    <x:cfRule type="cellIs" dxfId="1" priority="2" operator="equal">
      <x:formula>"F"</x:formula>
    </x:cfRule>
    <x:cfRule type="cellIs" dxfId="2" priority="3" operator="equal">
      <x:formula>"D"</x:formula>
    </x:cfRule>
    <x:cfRule type="cellIs" dxfId="3" priority="4" operator="equal">
      <x:formula>"N/A"</x:formula>
    </x:cfRule>
  </x:conditionalFormatting>
  <x:dataValidations count="2">
    <x:dataValidation type="list" sqref="H11">
      <x:formula1>"P0,P1,P2"</x:formula1>
    </x:dataValidation>
    <x:dataValidation type="list" sqref="I11">
      <x:formula1>"P,F,D,N/A"</x:formula1>
    </x:dataValidation>
  </x:dataValidations>
  <x:pageMargins left="0.7" right="0.7" top="0.75" bottom="0.75" header="0.3" footer="0.3"/>
</x:worksheet>
</file>