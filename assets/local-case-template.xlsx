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99a2b58e8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4699e7299006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20322C"/>
      <x:name val="Microsoft YaHei"/>
    </x:font>
    <x:font>
      <x:b/>
      <x:sz val="10"/>
      <x:color rgb="FF20322C"/>
      <x:name val="Microsoft YaHei"/>
    </x:font>
    <x:font>
      <x:b/>
      <x:sz val="10"/>
      <x:color rgb="FFFFFFFF"/>
      <x:name val="Microsoft YaHei"/>
    </x:font>
    <x:font>
      <x:b/>
      <x:sz val="11"/>
      <x:color rgb="FF20322C"/>
      <x:name val="Microsoft YaHei"/>
    </x:font>
    <x:font>
      <x:b/>
      <x:sz val="11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F"/>
      </x:patternFill>
    </x:fill>
    <x:fill>
      <x:patternFill patternType="solid">
        <x:fgColor rgb="FFDCE8E1"/>
      </x:patternFill>
    </x:fill>
    <x:fill>
      <x:patternFill patternType="solid">
        <x:fgColor rgb="FFF4F1E8"/>
      </x:patternFill>
    </x:fill>
    <x:fill>
      <x:patternFill patternType="solid">
        <x:fgColor rgb="FF2F5D50"/>
      </x:patternFill>
    </x:fill>
    <x:fill>
      <x:patternFill patternType="solid">
        <x:fgColor rgb="FFE8E0D0"/>
      </x:patternFill>
    </x:fill>
  </x:fills>
  <x:borders count="11">
    <x:border/>
    <x:border>
      <x:right style="thin">
        <x:color rgb="FFCBD5CF"/>
      </x:right>
      <x:bottom style="thin">
        <x:color rgb="FFCBD5CF"/>
      </x:bottom>
    </x:border>
    <x:border>
      <x:left style="thin">
        <x:color rgb="FFCBD5CF"/>
      </x:left>
      <x:right style="thin">
        <x:color rgb="FFCBD5CF"/>
      </x:right>
      <x:bottom style="thin">
        <x:color rgb="FFCBD5CF"/>
      </x:bottom>
    </x:border>
    <x:border>
      <x:left style="thin">
        <x:color rgb="FFCBD5CF"/>
      </x:left>
      <x:bottom style="thin">
        <x:color rgb="FFCBD5CF"/>
      </x:bottom>
    </x:border>
    <x:border>
      <x:right style="thin">
        <x:color rgb="FFCBD5CF"/>
      </x:right>
      <x:top style="thin">
        <x:color rgb="FFCBD5CF"/>
      </x:top>
      <x:bottom style="thin">
        <x:color rgb="FFCBD5CF"/>
      </x:bottom>
    </x:border>
    <x:border>
      <x:left style="thin">
        <x:color rgb="FFCBD5CF"/>
      </x:left>
      <x:right style="thin">
        <x:color rgb="FFCBD5CF"/>
      </x:right>
      <x:top style="thin">
        <x:color rgb="FFCBD5CF"/>
      </x:top>
      <x:bottom style="thin">
        <x:color rgb="FFCBD5CF"/>
      </x:bottom>
    </x:border>
    <x:border>
      <x:left style="thin">
        <x:color rgb="FFCBD5CF"/>
      </x:left>
      <x:top style="thin">
        <x:color rgb="FFCBD5CF"/>
      </x:top>
      <x:bottom style="thin">
        <x:color rgb="FFCBD5CF"/>
      </x:bottom>
    </x:border>
    <x:border>
      <x:right style="thin">
        <x:color rgb="FFCBD5CF"/>
      </x:right>
      <x:top style="thin">
        <x:color rgb="FFCBD5CF"/>
      </x:top>
    </x:border>
    <x:border>
      <x:left style="thin">
        <x:color rgb="FFCBD5CF"/>
      </x:left>
      <x:right style="thin">
        <x:color rgb="FFCBD5CF"/>
      </x:right>
      <x:top style="thin">
        <x:color rgb="FFCBD5CF"/>
      </x:top>
    </x:border>
    <x:border>
      <x:left style="thin">
        <x:color rgb="FFCBD5CF"/>
      </x:left>
      <x:top style="thin">
        <x:color rgb="FFCBD5C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20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24483F"/>
      </x:font>
      <x:fill>
        <x:patternFill patternType="solid">
          <x:bgColor rgb="FFDDF3E4"/>
        </x:patternFill>
      </x:fill>
    </x:dxf>
    <x:dxf>
      <x:font>
        <x:b/>
        <x:color rgb="FF8C2F2C"/>
      </x:font>
      <x:fill>
        <x:patternFill patternType="solid">
          <x:bgColor rgb="FFF8D9D7"/>
        </x:patternFill>
      </x:fill>
    </x:dxf>
    <x:dxf>
      <x:font>
        <x:b/>
        <x:color rgb="FF7A5A00"/>
      </x:font>
      <x:fill>
        <x:patternFill patternType="solid">
          <x:bgColor rgb="FFFFF1C7"/>
        </x:patternFill>
      </x:fill>
    </x:dxf>
    <x:dxf>
      <x:font>
        <x:b/>
        <x:color rgb="FF63716B"/>
      </x:font>
      <x:fill>
        <x:patternFill patternType="solid">
          <x:bgColor rgb="FFE6E8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8dc5465aa4e36" /><Relationship Type="http://schemas.openxmlformats.org/officeDocument/2006/relationships/theme" Target="/xl/theme/theme1.xml" Id="R8b28be7c0f894358" /><Relationship Type="http://schemas.openxmlformats.org/officeDocument/2006/relationships/sharedStrings" Target="/xl/sharedStrings.xml" Id="R5153a2e754c0428d" /><Relationship Type="http://schemas.openxmlformats.org/officeDocument/2006/relationships/worksheet" Target="/xl/worksheets/sheet1.xml" Id="R4699e72990064e38" /></Relationships>
</file>

<file path=xl/tables/table1.xml><?xml version="1.0" encoding="utf-8"?>
<x:table xmlns:x="http://schemas.openxmlformats.org/spreadsheetml/2006/main" id="1" name="TestCasesTable" displayName="TestCasesTable" ref="A10:J11" headerRowCount="1" totalsRowCount="0" totalsRowShown="0">
  <x:autoFilter ref="A10:J11"/>
  <x:tableColumns count="10">
    <x:tableColumn id="1" name="用例编号"/>
    <x:tableColumn id="2" name="一级模块"/>
    <x:tableColumn id="3" name="二级模块"/>
    <x:tableColumn id="4" name="检查点"/>
    <x:tableColumn id="5" name="前置条件"/>
    <x:tableColumn id="6" name="操作步骤"/>
    <x:tableColumn id="7" name="预期结果"/>
    <x:tableColumn id="8" name="优先级"/>
    <x:tableColumn id="9" name="测试结果"/>
    <x:tableColumn id="10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9257ca96384e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15" hidden="0" customWidth="1"/>
    <x:col min="4" max="4" width="28.75" hidden="0" customWidth="1"/>
    <x:col min="5" max="5" width="27.5" hidden="0" customWidth="1"/>
    <x:col min="6" max="6" width="41.25" hidden="0" customWidth="1"/>
    <x:col min="7" max="7" width="41.25" hidden="0" customWidth="1"/>
    <x:col min="8" max="8" width="12.5" hidden="0" customWidth="1"/>
    <x:col min="9" max="9" width="10.630000114440918" hidden="0" customWidth="1"/>
    <x:col min="10" max="10" width="19.3799991607666" hidden="0" customWidth="1"/>
  </x:cols>
  <x:sheetData>
    <x:row r="1" ht="36" customHeight="1">
      <x:c r="A1" s="4" t="str">
        <x:v>本地测试用例 - qa-case-xlsx</x:v>
      </x:c>
      <x:c r="B1" s="4" t="str">
        <x:v>本地测试用例 - qa-case-xlsx</x:v>
      </x:c>
      <x:c r="C1" s="4" t="str">
        <x:v>本地测试用例 - qa-case-xlsx</x:v>
      </x:c>
      <x:c r="D1" s="4" t="str">
        <x:v>本地测试用例 - qa-case-xlsx</x:v>
      </x:c>
      <x:c r="E1" s="4" t="str">
        <x:v>本地测试用例 - qa-case-xlsx</x:v>
      </x:c>
      <x:c r="F1" s="4" t="str">
        <x:v>本地测试用例 - qa-case-xlsx</x:v>
      </x:c>
      <x:c r="G1" s="4" t="str">
        <x:v>本地测试用例 - qa-case-xlsx</x:v>
      </x:c>
      <x:c r="H1" s="4" t="str">
        <x:v>本地测试用例 - qa-case-xlsx</x:v>
      </x:c>
      <x:c r="I1" s="4" t="str">
        <x:v>本地测试用例 - qa-case-xlsx</x:v>
      </x:c>
      <x:c r="J1" s="4" t="str">
        <x:v>本地测试用例 - qa-case-xlsx</x:v>
      </x:c>
    </x:row>
    <x:row r="2" ht="24" customHeight="1">
      <x:c r="A2" s="33" t="str">
        <x:v>需求名称</x:v>
      </x:c>
      <x:c r="B2" s="22" t="str"/>
      <x:c r="C2" s="25" t="str">
        <x:v>用例总数</x:v>
      </x:c>
      <x:c r="D2" s="22" t="n">
        <x:f>MAX(COUNTA($G$11:$G$10010),COUNTA($F$11:$F$10010))</x:f>
        <x:v>0</x:v>
      </x:c>
      <x:c r="E2" s="25" t="str">
        <x:v>项目</x:v>
      </x:c>
      <x:c r="F2" s="22" t="str"/>
      <x:c r="G2" s="25" t="str">
        <x:v>交付模式</x:v>
      </x:c>
      <x:c r="H2" s="34" t="str">
        <x:v>测试结果类型</x:v>
      </x:c>
      <x:c r="I2" s="34" t="str">
        <x:v>结果统计</x:v>
      </x:c>
      <x:c r="J2" s="34"/>
    </x:row>
    <x:row r="3" ht="32" customHeight="1">
      <x:c r="A3" s="33" t="str">
        <x:v>来源文件</x:v>
      </x:c>
      <x:c r="B3" s="22" t="str"/>
      <x:c r="C3" s="22"/>
      <x:c r="D3" s="22"/>
      <x:c r="E3" s="22"/>
      <x:c r="F3" s="22"/>
      <x:c r="G3" s="22"/>
      <x:c r="H3" s="23" t="str">
        <x:v>测试通过（P）</x:v>
      </x:c>
      <x:c r="I3" s="23" t="n">
        <x:f>COUNTIF($I$11:$I$10010,"P")</x:f>
        <x:v>0</x:v>
      </x:c>
      <x:c r="J3" s="23"/>
    </x:row>
    <x:row r="4" ht="32" customHeight="1">
      <x:c r="A4" s="33" t="str">
        <x:v>源包 SHA-256</x:v>
      </x:c>
      <x:c r="B4" s="22" t="str"/>
      <x:c r="C4" s="22"/>
      <x:c r="D4" s="22"/>
      <x:c r="E4" s="22"/>
      <x:c r="F4" s="22"/>
      <x:c r="G4" s="22"/>
      <x:c r="H4" s="23" t="str">
        <x:v>未通过（F）</x:v>
      </x:c>
      <x:c r="I4" s="23" t="n">
        <x:f>COUNTIF($I$11:$I$10010,"F")</x:f>
        <x:v>0</x:v>
      </x:c>
      <x:c r="J4" s="23"/>
    </x:row>
    <x:row r="5" ht="24" customHeight="1">
      <x:c r="A5" s="33" t="str">
        <x:v>生成状态</x:v>
      </x:c>
      <x:c r="B5" s="22" t="str"/>
      <x:c r="C5" s="22"/>
      <x:c r="D5" s="25" t="str">
        <x:v>规则版本</x:v>
      </x:c>
      <x:c r="E5" s="22" t="str"/>
      <x:c r="F5" s="22"/>
      <x:c r="G5" s="22"/>
      <x:c r="H5" s="23" t="str">
        <x:v>删除用例（D）</x:v>
      </x:c>
      <x:c r="I5" s="23" t="n">
        <x:f>COUNTIF($I$11:$I$10010,"D")</x:f>
        <x:v>0</x:v>
      </x:c>
      <x:c r="J5" s="23"/>
    </x:row>
    <x:row r="6" ht="24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3" t="str">
        <x:v>无需测试（N/A）</x:v>
      </x:c>
      <x:c r="I6" s="23" t="n">
        <x:f>COUNTIF($I$11:$I$10010,"N/A")</x:f>
        <x:v>0</x:v>
      </x:c>
      <x:c r="J6" s="23"/>
    </x:row>
    <x:row r="7" ht="24" customHeight="1">
      <x:c r="A7" s="22" t="str"/>
      <x:c r="B7" s="22" t="str"/>
      <x:c r="C7" s="22" t="str"/>
      <x:c r="D7" s="22" t="str"/>
      <x:c r="E7" s="22" t="str"/>
      <x:c r="F7" s="22" t="str"/>
      <x:c r="G7" s="22" t="str"/>
      <x:c r="H7" s="23" t="str">
        <x:v>执行率</x:v>
      </x:c>
      <x:c r="I7" s="27" t="n">
        <x:f>IF($D$2=0,0,SUM($I$3:$I$6)/$D$2)</x:f>
        <x:v>0</x:v>
      </x:c>
      <x:c r="J7" s="23"/>
    </x:row>
    <x:row r="8" ht="24" customHeight="1">
      <x:c r="A8" s="22" t="str"/>
      <x:c r="B8" s="22" t="str"/>
      <x:c r="C8" s="22" t="str"/>
      <x:c r="D8" s="22" t="str"/>
      <x:c r="E8" s="22" t="str"/>
      <x:c r="F8" s="22" t="str"/>
      <x:c r="G8" s="22" t="str"/>
      <x:c r="H8" s="23" t="str">
        <x:v>通过率</x:v>
      </x:c>
      <x:c r="I8" s="27" t="n">
        <x:f>IF($D$2=0,0,$I$3/$D$2)</x:f>
        <x:v>0</x:v>
      </x:c>
      <x:c r="J8" s="23"/>
    </x:row>
    <x:row r="9" ht="26" customHeight="1">
      <x:c r="A9" s="38" t="str">
        <x:v>用例明细（固定 A:J）</x:v>
      </x:c>
      <x:c r="B9" s="38" t="str">
        <x:v>用例明细（固定 A:J）</x:v>
      </x:c>
      <x:c r="C9" s="38" t="str">
        <x:v>用例明细（固定 A:J）</x:v>
      </x:c>
      <x:c r="D9" s="38" t="str">
        <x:v>用例明细（固定 A:J）</x:v>
      </x:c>
      <x:c r="E9" s="38" t="str">
        <x:v>用例明细（固定 A:J）</x:v>
      </x:c>
      <x:c r="F9" s="38" t="str">
        <x:v>用例明细（固定 A:J）</x:v>
      </x:c>
      <x:c r="G9" s="38" t="str">
        <x:v>用例明细（固定 A:J）</x:v>
      </x:c>
      <x:c r="H9" s="38" t="str">
        <x:v>用例明细（固定 A:J）</x:v>
      </x:c>
      <x:c r="I9" s="38" t="str">
        <x:v>用例明细（固定 A:J）</x:v>
      </x:c>
      <x:c r="J9" s="38" t="str">
        <x:v>用例明细（固定 A:J）</x:v>
      </x:c>
    </x:row>
    <x:row r="10" ht="32" customHeight="1">
      <x:c r="A10" s="44" t="str">
        <x:v>用例编号</x:v>
      </x:c>
      <x:c r="B10" s="44" t="str">
        <x:v>一级模块</x:v>
      </x:c>
      <x:c r="C10" s="44" t="str">
        <x:v>二级模块</x:v>
      </x:c>
      <x:c r="D10" s="44" t="str">
        <x:v>检查点</x:v>
      </x:c>
      <x:c r="E10" s="44" t="str">
        <x:v>前置条件</x:v>
      </x:c>
      <x:c r="F10" s="44" t="str">
        <x:v>操作步骤</x:v>
      </x:c>
      <x:c r="G10" s="44" t="str">
        <x:v>预期结果</x:v>
      </x:c>
      <x:c r="H10" s="44" t="str">
        <x:v>优先级</x:v>
      </x:c>
      <x:c r="I10" s="44" t="str">
        <x:v>测试结果</x:v>
      </x:c>
      <x:c r="J10" s="44" t="str">
        <x:v>备注</x:v>
      </x:c>
    </x:row>
    <x:row r="11" ht="15" hidden="0" customHeight="1">
      <x:c r="A11" s="47"/>
      <x:c r="B11" s="48"/>
      <x:c r="C11" s="48"/>
      <x:c r="D11" s="48"/>
      <x:c r="E11" s="48"/>
      <x:c r="F11" s="48"/>
      <x:c r="G11" s="48"/>
      <x:c r="H11" s="47"/>
      <x:c r="I11" s="47"/>
      <x:c r="J11" s="48"/>
    </x:row>
  </x:sheetData>
  <x:mergeCells>
    <x:mergeCell ref="A1:J1"/>
    <x:mergeCell ref="I2:J2"/>
    <x:mergeCell ref="B3:G3"/>
    <x:mergeCell ref="B4:G4"/>
    <x:mergeCell ref="B5:C5"/>
    <x:mergeCell ref="E5:G5"/>
    <x:mergeCell ref="A9:J9"/>
  </x:mergeCells>
  <x:conditionalFormatting sqref="I11:I10010">
    <x:cfRule type="cellIs" dxfId="0" priority="1" operator="equal">
      <x:formula>"P"</x:formula>
    </x:cfRule>
    <x:cfRule type="cellIs" dxfId="1" priority="2" operator="equal">
      <x:formula>"F"</x:formula>
    </x:cfRule>
    <x:cfRule type="cellIs" dxfId="2" priority="3" operator="equal">
      <x:formula>"D"</x:formula>
    </x:cfRule>
    <x:cfRule type="cellIs" dxfId="3" priority="4" operator="equal">
      <x:formula>"N/A"</x:formula>
    </x:cfRule>
  </x:conditionalFormatting>
  <x:dataValidations count="2">
    <x:dataValidation type="list" sqref="H11:H10010">
      <x:formula1>"P0,P1,P2"</x:formula1>
    </x:dataValidation>
    <x:dataValidation type="list" sqref="I11:I10010">
      <x:formula1>"P,F,D,N/A"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9257ca96384e37"/>
  </x:tableParts>
</x:worksheet>
</file>